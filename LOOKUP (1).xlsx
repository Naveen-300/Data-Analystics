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vee\Downloads\"/>
    </mc:Choice>
  </mc:AlternateContent>
  <xr:revisionPtr revIDLastSave="0" documentId="13_ncr:1_{6A4CFDBB-B3AA-4176-ACE7-11D215823765}" xr6:coauthVersionLast="47" xr6:coauthVersionMax="47" xr10:uidLastSave="{00000000-0000-0000-0000-000000000000}"/>
  <bookViews>
    <workbookView xWindow="-108" yWindow="-108" windowWidth="23256" windowHeight="13176" xr2:uid="{3171AC52-6C05-42B1-812E-BE1E1CB79B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0" i="1" l="1"/>
  <c r="Q7" i="1"/>
  <c r="Q6" i="1"/>
  <c r="I19" i="1"/>
  <c r="Q5" i="1"/>
</calcChain>
</file>

<file path=xl/sharedStrings.xml><?xml version="1.0" encoding="utf-8"?>
<sst xmlns="http://schemas.openxmlformats.org/spreadsheetml/2006/main" count="36" uniqueCount="36">
  <si>
    <t>Domestic Price</t>
  </si>
  <si>
    <t>International Price</t>
  </si>
  <si>
    <t>Product</t>
  </si>
  <si>
    <t xml:space="preserve">        North</t>
  </si>
  <si>
    <t xml:space="preserve"> South</t>
  </si>
  <si>
    <t xml:space="preserve"> East</t>
  </si>
  <si>
    <t xml:space="preserve"> West</t>
  </si>
  <si>
    <t xml:space="preserve"> Central</t>
  </si>
  <si>
    <t xml:space="preserve"> Northeast</t>
  </si>
  <si>
    <t xml:space="preserve"> Northwest</t>
  </si>
  <si>
    <t xml:space="preserve"> Southeast</t>
  </si>
  <si>
    <t xml:space="preserve"> Southwest</t>
  </si>
  <si>
    <t xml:space="preserve"> International</t>
  </si>
  <si>
    <t>Laptop</t>
  </si>
  <si>
    <t>Smartphone</t>
  </si>
  <si>
    <t>Tablet</t>
  </si>
  <si>
    <t>Smartwatch</t>
  </si>
  <si>
    <t>Headphones</t>
  </si>
  <si>
    <t>Camera</t>
  </si>
  <si>
    <t>Monitor</t>
  </si>
  <si>
    <t>Keyboard</t>
  </si>
  <si>
    <t>Mouse</t>
  </si>
  <si>
    <t>Printer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</si>
  <si>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</si>
  <si>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</si>
  <si>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</si>
  <si>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</si>
  <si>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</si>
  <si>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</si>
  <si>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</si>
  <si>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</si>
  <si>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</si>
  <si>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position of the table</t>
  </si>
  <si>
    <t xml:space="preserve">column number of </t>
  </si>
  <si>
    <t>mber of south</t>
  </si>
  <si>
    <t>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</si>
</sst>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2" borderId="1" xfId="0" applyFill="1" applyBorder="1"/>
    <xf numFmtId="0" fontId="0" fillId="0" borderId="2" xfId="0" applyBorder="1"/>
    <xf numFmtId="0" fontId="1" fillId="0" borderId="2" xfId="0" applyFont="1" applyBorder="1"/>
    <xf numFmtId="0" fontId="0" fillId="2" borderId="2" xfId="0" applyFill="1" applyBorder="1"/>
    <xf numFmtId="0" fontId="1" fillId="0" borderId="3" xfId="0" applyFont="1" applyBorder="1"/>
    <xf numFmtId="0" fontId="0" fillId="0" borderId="3" xfId="0" applyBorder="1"/>
    <xf numFmtId="0" fontId="0" fillId="2" borderId="3" xfId="0" applyFill="1" applyBorder="1"/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15"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511562-D703-43B3-BE63-F1ED448162B8}" name="Table1" displayName="Table1" ref="A1:K12" totalsRowShown="0" headerRowDxfId="0" headerRowBorderDxfId="13" tableBorderDxfId="14" totalsRowBorderDxfId="12">
  <autoFilter ref="A1:K12" xr:uid="{CA511562-D703-43B3-BE63-F1ED448162B8}"/>
  <sortState xmlns:xlrd2="http://schemas.microsoft.com/office/spreadsheetml/2017/richdata2" ref="A2:K12">
    <sortCondition descending="1" ref="B1:B12"/>
  </sortState>
  <tableColumns count="11">
    <tableColumn id="1" xr3:uid="{37629446-A067-4B18-9FD2-A62E4665BBC0}" name="Column1" dataDxfId="11"/>
    <tableColumn id="2" xr3:uid="{B756DD80-B7A6-42E9-8FC6-2C8FA2470224}" name="Domestic Price" dataDxfId="10"/>
    <tableColumn id="3" xr3:uid="{1C86AE7E-6B07-4614-BB19-3FE1954BB1EE}" name="Column2" dataDxfId="9"/>
    <tableColumn id="4" xr3:uid="{1FBC2773-8E14-4663-93C8-9BA824722EB5}" name="Column3" dataDxfId="8"/>
    <tableColumn id="5" xr3:uid="{D8C0151A-E02E-4D2D-9DC3-6620D73B721E}" name="Column4" dataDxfId="7"/>
    <tableColumn id="6" xr3:uid="{39B0A755-E16E-49C3-A8F5-D60FAA43EC07}" name="Column5" dataDxfId="6"/>
    <tableColumn id="7" xr3:uid="{3444BDE8-72C5-4F44-9654-1A78D3FFF5EE}" name="International Price" dataDxfId="5"/>
    <tableColumn id="8" xr3:uid="{F862344C-104D-4391-AE02-8163987833B6}" name="Column6" dataDxfId="4"/>
    <tableColumn id="9" xr3:uid="{5D866EBC-284E-40C1-AAC2-250B2E1A37E5}" name="Column7" dataDxfId="3"/>
    <tableColumn id="10" xr3:uid="{B9343549-0062-4D48-9C8B-8690D2D10EA8}" name="Column8" dataDxfId="2"/>
    <tableColumn id="11" xr3:uid="{F1F93909-0465-4D14-A615-D1ADC43061BE}" name="Column9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07954-C925-404A-9F67-4F83961B695C}">
  <dimension ref="A1:Q19"/>
  <sheetViews>
    <sheetView tabSelected="1" workbookViewId="0">
      <selection activeCell="Q10" sqref="Q10"/>
    </sheetView>
  </sheetViews>
  <sheetFormatPr defaultRowHeight="14.4" x14ac:dyDescent="0.3"/>
  <cols>
    <col min="1" max="1" width="10.44140625" customWidth="1"/>
    <col min="2" max="2" width="15.21875" customWidth="1"/>
    <col min="3" max="6" width="10.44140625" customWidth="1"/>
    <col min="7" max="7" width="18.33203125" customWidth="1"/>
    <col min="8" max="11" width="10.44140625" customWidth="1"/>
    <col min="16" max="16" width="13.21875" customWidth="1"/>
  </cols>
  <sheetData>
    <row r="1" spans="1:17" x14ac:dyDescent="0.3">
      <c r="A1" s="10" t="s">
        <v>23</v>
      </c>
      <c r="B1" s="11" t="s">
        <v>0</v>
      </c>
      <c r="C1" s="11" t="s">
        <v>24</v>
      </c>
      <c r="D1" s="11" t="s">
        <v>25</v>
      </c>
      <c r="E1" s="11" t="s">
        <v>26</v>
      </c>
      <c r="F1" s="11" t="s">
        <v>27</v>
      </c>
      <c r="G1" s="11" t="s">
        <v>1</v>
      </c>
      <c r="H1" s="11" t="s">
        <v>28</v>
      </c>
      <c r="I1" s="11" t="s">
        <v>29</v>
      </c>
      <c r="J1" s="11" t="s">
        <v>30</v>
      </c>
      <c r="K1" s="12" t="s">
        <v>31</v>
      </c>
    </row>
    <row r="2" spans="1:17" x14ac:dyDescent="0.3">
      <c r="A2" s="5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7" t="s">
        <v>12</v>
      </c>
    </row>
    <row r="3" spans="1:17" x14ac:dyDescent="0.3">
      <c r="A3" s="4" t="s">
        <v>19</v>
      </c>
      <c r="B3" s="1">
        <v>890</v>
      </c>
      <c r="C3" s="1">
        <v>419</v>
      </c>
      <c r="D3" s="1">
        <v>372</v>
      </c>
      <c r="E3" s="1">
        <v>303</v>
      </c>
      <c r="F3" s="1">
        <v>481</v>
      </c>
      <c r="G3" s="1">
        <v>519</v>
      </c>
      <c r="H3" s="1">
        <v>996</v>
      </c>
      <c r="I3" s="1">
        <v>564</v>
      </c>
      <c r="J3" s="1">
        <v>386</v>
      </c>
      <c r="K3" s="8">
        <v>402</v>
      </c>
    </row>
    <row r="4" spans="1:17" x14ac:dyDescent="0.3">
      <c r="A4" s="6" t="s">
        <v>15</v>
      </c>
      <c r="B4" s="1">
        <v>876</v>
      </c>
      <c r="C4" s="1">
        <v>180</v>
      </c>
      <c r="D4" s="1">
        <v>362</v>
      </c>
      <c r="E4" s="1">
        <v>707</v>
      </c>
      <c r="F4" s="1">
        <v>767</v>
      </c>
      <c r="G4" s="1">
        <v>829</v>
      </c>
      <c r="H4" s="1">
        <v>660</v>
      </c>
      <c r="I4" s="1">
        <v>849</v>
      </c>
      <c r="J4" s="3">
        <v>988</v>
      </c>
      <c r="K4" s="8">
        <v>178</v>
      </c>
    </row>
    <row r="5" spans="1:17" x14ac:dyDescent="0.3">
      <c r="A5" s="4" t="s">
        <v>13</v>
      </c>
      <c r="B5" s="1">
        <v>711</v>
      </c>
      <c r="C5" s="1">
        <v>645</v>
      </c>
      <c r="D5" s="1">
        <v>437</v>
      </c>
      <c r="E5" s="1">
        <v>873</v>
      </c>
      <c r="F5" s="1">
        <v>153</v>
      </c>
      <c r="G5" s="1">
        <v>151</v>
      </c>
      <c r="H5" s="1">
        <v>732</v>
      </c>
      <c r="I5" s="1">
        <v>308</v>
      </c>
      <c r="J5" s="1">
        <v>676</v>
      </c>
      <c r="K5" s="8">
        <v>876</v>
      </c>
      <c r="O5" t="s">
        <v>32</v>
      </c>
      <c r="Q5">
        <f>MATCH("tablet",A3:A12,0)</f>
        <v>2</v>
      </c>
    </row>
    <row r="6" spans="1:17" x14ac:dyDescent="0.3">
      <c r="A6" s="6" t="s">
        <v>20</v>
      </c>
      <c r="B6" s="1">
        <v>431</v>
      </c>
      <c r="C6" s="1">
        <v>113</v>
      </c>
      <c r="D6" s="1">
        <v>918</v>
      </c>
      <c r="E6" s="1">
        <v>772</v>
      </c>
      <c r="F6" s="1">
        <v>653</v>
      </c>
      <c r="G6" s="1">
        <v>817</v>
      </c>
      <c r="H6" s="1">
        <v>507</v>
      </c>
      <c r="I6" s="1">
        <v>614</v>
      </c>
      <c r="J6" s="1">
        <v>763</v>
      </c>
      <c r="K6" s="9">
        <v>700</v>
      </c>
      <c r="O6" t="s">
        <v>33</v>
      </c>
      <c r="P6" t="s">
        <v>34</v>
      </c>
      <c r="Q6">
        <f>MATCH(" southeast",A2:K2,0)</f>
        <v>9</v>
      </c>
    </row>
    <row r="7" spans="1:17" x14ac:dyDescent="0.3">
      <c r="A7" s="4" t="s">
        <v>22</v>
      </c>
      <c r="B7" s="1">
        <v>381</v>
      </c>
      <c r="C7" s="1">
        <v>625</v>
      </c>
      <c r="D7" s="1">
        <v>772</v>
      </c>
      <c r="E7" s="1">
        <v>181</v>
      </c>
      <c r="F7" s="1">
        <v>232</v>
      </c>
      <c r="G7" s="1">
        <v>957</v>
      </c>
      <c r="H7" s="1">
        <v>265</v>
      </c>
      <c r="I7" s="1">
        <v>525</v>
      </c>
      <c r="J7" s="1">
        <v>637</v>
      </c>
      <c r="K7" s="8">
        <v>212</v>
      </c>
      <c r="Q7">
        <f>MATCH(500,B3:B12,1)</f>
        <v>10</v>
      </c>
    </row>
    <row r="8" spans="1:17" x14ac:dyDescent="0.3">
      <c r="A8" s="6" t="s">
        <v>17</v>
      </c>
      <c r="B8" s="1">
        <v>291</v>
      </c>
      <c r="C8" s="1">
        <v>524</v>
      </c>
      <c r="D8" s="1">
        <v>528</v>
      </c>
      <c r="E8" s="1">
        <v>732</v>
      </c>
      <c r="F8" s="3">
        <v>169</v>
      </c>
      <c r="G8" s="1">
        <v>316</v>
      </c>
      <c r="H8" s="1">
        <v>556</v>
      </c>
      <c r="I8" s="1">
        <v>470</v>
      </c>
      <c r="J8" s="1">
        <v>844</v>
      </c>
      <c r="K8" s="8">
        <v>670</v>
      </c>
    </row>
    <row r="9" spans="1:17" x14ac:dyDescent="0.3">
      <c r="A9" s="4" t="s">
        <v>18</v>
      </c>
      <c r="B9" s="1">
        <v>252</v>
      </c>
      <c r="C9" s="1">
        <v>163</v>
      </c>
      <c r="D9" s="1">
        <v>180</v>
      </c>
      <c r="E9" s="1">
        <v>981</v>
      </c>
      <c r="F9" s="1">
        <v>345</v>
      </c>
      <c r="G9" s="1">
        <v>379</v>
      </c>
      <c r="H9" s="1">
        <v>983</v>
      </c>
      <c r="I9" s="1">
        <v>744</v>
      </c>
      <c r="J9" s="1">
        <v>105</v>
      </c>
      <c r="K9" s="8">
        <v>657</v>
      </c>
    </row>
    <row r="10" spans="1:17" x14ac:dyDescent="0.3">
      <c r="A10" s="4" t="s">
        <v>16</v>
      </c>
      <c r="B10" s="1">
        <v>237</v>
      </c>
      <c r="C10" s="1">
        <v>699</v>
      </c>
      <c r="D10" s="1">
        <v>744</v>
      </c>
      <c r="E10" s="1">
        <v>298</v>
      </c>
      <c r="F10" s="1">
        <v>504</v>
      </c>
      <c r="G10" s="1">
        <v>194</v>
      </c>
      <c r="H10" s="1">
        <v>118</v>
      </c>
      <c r="I10" s="1">
        <v>212</v>
      </c>
      <c r="J10" s="1">
        <v>437</v>
      </c>
      <c r="K10" s="8">
        <v>823</v>
      </c>
      <c r="Q10" t="str">
        <f>TRIM(B2)</f>
        <v>North</v>
      </c>
    </row>
    <row r="11" spans="1:17" x14ac:dyDescent="0.3">
      <c r="A11" s="4" t="s">
        <v>14</v>
      </c>
      <c r="B11" s="1">
        <v>144</v>
      </c>
      <c r="C11" s="1">
        <v>867</v>
      </c>
      <c r="D11" s="1">
        <v>290</v>
      </c>
      <c r="E11" s="1">
        <v>758</v>
      </c>
      <c r="F11" s="1">
        <v>529</v>
      </c>
      <c r="G11" s="1">
        <v>223</v>
      </c>
      <c r="H11" s="1">
        <v>241</v>
      </c>
      <c r="I11" s="1">
        <v>587</v>
      </c>
      <c r="J11" s="1">
        <v>961</v>
      </c>
      <c r="K11" s="8">
        <v>607</v>
      </c>
    </row>
    <row r="12" spans="1:17" x14ac:dyDescent="0.3">
      <c r="A12" s="13" t="s">
        <v>21</v>
      </c>
      <c r="B12" s="14">
        <v>136</v>
      </c>
      <c r="C12" s="14">
        <v>905</v>
      </c>
      <c r="D12" s="14">
        <v>594</v>
      </c>
      <c r="E12" s="14">
        <v>607</v>
      </c>
      <c r="F12" s="14">
        <v>448</v>
      </c>
      <c r="G12" s="14">
        <v>680</v>
      </c>
      <c r="H12" s="14">
        <v>943</v>
      </c>
      <c r="I12" s="14">
        <v>295</v>
      </c>
      <c r="J12" s="14">
        <v>581</v>
      </c>
      <c r="K12" s="15">
        <v>303</v>
      </c>
    </row>
    <row r="17" spans="9:13" x14ac:dyDescent="0.3">
      <c r="M17" t="s">
        <v>35</v>
      </c>
    </row>
    <row r="19" spans="9:13" x14ac:dyDescent="0.3">
      <c r="I19">
        <f>MATCH("mouse",A3:A12,0)</f>
        <v>10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NAVEEN M</cp:lastModifiedBy>
  <dcterms:created xsi:type="dcterms:W3CDTF">2025-10-30T12:49:53Z</dcterms:created>
  <dcterms:modified xsi:type="dcterms:W3CDTF">2025-11-10T10:56:53Z</dcterms:modified>
</cp:coreProperties>
</file>